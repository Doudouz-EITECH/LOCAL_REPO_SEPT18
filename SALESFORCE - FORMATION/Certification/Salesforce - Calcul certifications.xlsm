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is MASSON\Desktop\"/>
    </mc:Choice>
  </mc:AlternateContent>
  <bookViews>
    <workbookView xWindow="0" yWindow="0" windowWidth="28800" windowHeight="12210"/>
  </bookViews>
  <sheets>
    <sheet name="Masque toute certif" sheetId="13" r:id="rId1"/>
    <sheet name="Masque ADM 201" sheetId="11" r:id="rId2"/>
    <sheet name="Masque DEV 450" sheetId="17" r:id="rId3"/>
    <sheet name="DEV 450 - Alexis" sheetId="18" r:id="rId4"/>
    <sheet name="ADM 201 - Samira" sheetId="19" r:id="rId5"/>
  </sheets>
  <definedNames>
    <definedName name="totQuestions">#REF!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19" l="1"/>
  <c r="D14" i="19"/>
  <c r="D13" i="19"/>
  <c r="D12" i="19"/>
  <c r="D11" i="19"/>
  <c r="D10" i="19"/>
  <c r="D9" i="19"/>
  <c r="D8" i="19"/>
  <c r="D7" i="19"/>
  <c r="D6" i="19"/>
  <c r="D5" i="19"/>
  <c r="D4" i="19"/>
  <c r="D4" i="13"/>
  <c r="F5" i="13"/>
  <c r="F6" i="13"/>
  <c r="F7" i="13"/>
  <c r="F8" i="13"/>
  <c r="F9" i="13"/>
  <c r="F10" i="13"/>
  <c r="F11" i="13"/>
  <c r="F12" i="13"/>
  <c r="F13" i="13"/>
  <c r="F14" i="13"/>
  <c r="F15" i="13"/>
  <c r="F4" i="13"/>
  <c r="F5" i="17"/>
  <c r="F6" i="17"/>
  <c r="F7" i="17"/>
  <c r="F8" i="17"/>
  <c r="F9" i="17"/>
  <c r="F4" i="17"/>
  <c r="F5" i="18"/>
  <c r="F6" i="18"/>
  <c r="F7" i="18"/>
  <c r="F8" i="18"/>
  <c r="F9" i="18"/>
  <c r="F4" i="18"/>
  <c r="D4" i="18"/>
  <c r="D5" i="18"/>
  <c r="D6" i="18"/>
  <c r="D7" i="18"/>
  <c r="D8" i="18"/>
  <c r="D9" i="18"/>
  <c r="E13" i="18"/>
  <c r="E13" i="17"/>
  <c r="D9" i="17"/>
  <c r="D6" i="17"/>
  <c r="D8" i="17"/>
  <c r="D4" i="17"/>
  <c r="D5" i="17"/>
  <c r="D7" i="17"/>
  <c r="D15" i="13"/>
  <c r="D14" i="13"/>
  <c r="D13" i="13"/>
  <c r="D12" i="13"/>
  <c r="D11" i="13"/>
  <c r="D10" i="13"/>
  <c r="D9" i="13"/>
  <c r="D8" i="13"/>
  <c r="D7" i="13"/>
  <c r="D6" i="13"/>
  <c r="D5" i="13"/>
  <c r="F4" i="11" a="1"/>
  <c r="F4" i="11"/>
  <c r="F5" i="11"/>
  <c r="F6" i="11"/>
  <c r="F7" i="11"/>
  <c r="F8" i="11"/>
  <c r="F9" i="11"/>
  <c r="F10" i="11"/>
  <c r="F11" i="11"/>
  <c r="F12" i="11"/>
  <c r="F13" i="11"/>
  <c r="F14" i="11"/>
  <c r="F15" i="11"/>
  <c r="E19" i="11"/>
  <c r="D15" i="11"/>
  <c r="D14" i="11"/>
  <c r="D13" i="11"/>
  <c r="D12" i="11"/>
  <c r="D11" i="11"/>
  <c r="D10" i="11"/>
  <c r="D9" i="11"/>
  <c r="D8" i="11"/>
  <c r="D7" i="11"/>
  <c r="D6" i="11"/>
  <c r="D5" i="11"/>
  <c r="D4" i="11"/>
  <c r="E19" i="13"/>
  <c r="F4" i="19" a="1"/>
  <c r="F15" i="19"/>
  <c r="F14" i="19"/>
  <c r="F13" i="19"/>
  <c r="F12" i="19"/>
  <c r="F11" i="19"/>
  <c r="F10" i="19"/>
  <c r="F9" i="19"/>
  <c r="F8" i="19"/>
  <c r="F7" i="19"/>
  <c r="F6" i="19"/>
  <c r="F5" i="19"/>
  <c r="F4" i="19"/>
  <c r="E19" i="19"/>
</calcChain>
</file>

<file path=xl/sharedStrings.xml><?xml version="1.0" encoding="utf-8"?>
<sst xmlns="http://schemas.openxmlformats.org/spreadsheetml/2006/main" count="71" uniqueCount="25">
  <si>
    <t>ORGANISATION SETUP</t>
  </si>
  <si>
    <t>USER SETUP</t>
  </si>
  <si>
    <t>SECURITY &amp; ACCESS</t>
  </si>
  <si>
    <t>STANDARD &amp; CUSTOM OBJECTS</t>
  </si>
  <si>
    <t>SALES &amp; MARKETING APPLICATIONS</t>
  </si>
  <si>
    <t>SERVICE &amp; SUPPORT APPLICATIONS</t>
  </si>
  <si>
    <t>ACTIVITY MANAGEMENT &amp; COLLABORATION</t>
  </si>
  <si>
    <t>DATA MANAGEMENT</t>
  </si>
  <si>
    <t>ANALYTICS - REPORTS &amp; DASHBOARDS</t>
  </si>
  <si>
    <t>WORKFLOW/PROCESS AUTOMATION</t>
  </si>
  <si>
    <t>DESKTOP &amp; MOBILE ADMINISTRATION</t>
  </si>
  <si>
    <t>APEXCHANGE</t>
  </si>
  <si>
    <t>Nombre de questions
théorique</t>
  </si>
  <si>
    <t>Représentation de
la matière (%)</t>
  </si>
  <si>
    <t>Pourcentage
obtenu</t>
  </si>
  <si>
    <t>Nombre de questions théorique stagiaire</t>
  </si>
  <si>
    <t>Matière</t>
  </si>
  <si>
    <t>Résultat final :</t>
  </si>
  <si>
    <t>Score minimum requis :</t>
  </si>
  <si>
    <t>SALESFORCE FUNDAMENTALS</t>
  </si>
  <si>
    <t>DATA MODELING &amp; MANAGEMENT</t>
  </si>
  <si>
    <t>LOGIC &amp; PROCESS AUTOMATION</t>
  </si>
  <si>
    <t>USER INTERFACE</t>
  </si>
  <si>
    <t>TESTING</t>
  </si>
  <si>
    <t>DEBUG &amp; DEPLOYMENT 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</si>
</sst>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0" fillId="0" borderId="5" xfId="0" applyBorder="1" applyAlignment="1">
      <alignment horizontal="center"/>
    </xf>
    <xf numFmtId="9" fontId="0" fillId="2" borderId="5" xfId="1" applyFont="1" applyFill="1" applyBorder="1" applyAlignment="1">
      <alignment horizontal="center"/>
    </xf>
    <xf numFmtId="9" fontId="0" fillId="2" borderId="6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0" fillId="2" borderId="2" xfId="0" applyFill="1" applyBorder="1" applyAlignment="1">
      <alignment horizontal="center"/>
    </xf>
    <xf numFmtId="0" fontId="0" fillId="0" borderId="6" xfId="0" applyBorder="1" applyAlignment="1">
      <alignment horizontal="center"/>
    </xf>
    <xf numFmtId="10" fontId="2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9" fontId="0" fillId="2" borderId="6" xfId="0" applyNumberFormat="1" applyFill="1" applyBorder="1" applyAlignment="1">
      <alignment horizontal="center" vertical="center"/>
    </xf>
    <xf numFmtId="0" fontId="0" fillId="2" borderId="1" xfId="0" applyFill="1" applyBorder="1"/>
    <xf numFmtId="0" fontId="0" fillId="0" borderId="0" xfId="0"/>
    <xf numFmtId="9" fontId="0" fillId="0" borderId="0" xfId="0" applyNumberFormat="1"/>
    <xf numFmtId="0" fontId="0" fillId="0" borderId="0" xfId="0" quotePrefix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0" fontId="2" fillId="0" borderId="5" xfId="0" applyFont="1" applyBorder="1"/>
    <xf numFmtId="0" fontId="2" fillId="0" borderId="6" xfId="0" applyFont="1" applyBorder="1"/>
    <xf numFmtId="0" fontId="0" fillId="0" borderId="5" xfId="0" applyBorder="1" applyAlignment="1">
      <alignment horizontal="center"/>
    </xf>
    <xf numFmtId="9" fontId="0" fillId="2" borderId="5" xfId="1" applyFont="1" applyFill="1" applyBorder="1" applyAlignment="1">
      <alignment horizontal="center"/>
    </xf>
    <xf numFmtId="9" fontId="0" fillId="2" borderId="6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0" fillId="2" borderId="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2" fillId="2" borderId="5" xfId="0" applyFont="1" applyFill="1" applyBorder="1"/>
    <xf numFmtId="0" fontId="2" fillId="2" borderId="6" xfId="0" applyFont="1" applyFill="1" applyBorder="1"/>
    <xf numFmtId="10" fontId="2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/>
    <xf numFmtId="9" fontId="0" fillId="2" borderId="6" xfId="0" applyNumberFormat="1" applyFill="1" applyBorder="1" applyAlignment="1">
      <alignment horizontal="center" vertical="center"/>
    </xf>
    <xf numFmtId="0" fontId="0" fillId="2" borderId="1" xfId="0" applyFill="1" applyBorder="1"/>
    <xf numFmtId="0" fontId="3" fillId="0" borderId="0" xfId="0" applyFont="1"/>
    <xf numFmtId="2" fontId="0" fillId="0" borderId="2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9" fontId="0" fillId="2" borderId="3" xfId="0" applyNumberForma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19</xdr:row>
      <xdr:rowOff>66675</xdr:rowOff>
    </xdr:from>
    <xdr:to>
      <xdr:col>1</xdr:col>
      <xdr:colOff>2085975</xdr:colOff>
      <xdr:row>22</xdr:row>
      <xdr:rowOff>66675</xdr:rowOff>
    </xdr:to>
    <xdr:sp macro="[0]!CreationCopieMasqu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DDB3D17-DB38-4A3A-86FE-62B8308C99B9}"/>
            </a:ext>
          </a:extLst>
        </xdr:cNvPr>
        <xdr:cNvSpPr/>
      </xdr:nvSpPr>
      <xdr:spPr>
        <a:xfrm>
          <a:off x="704850" y="4143375"/>
          <a:ext cx="21431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CLIQUER ICI</a:t>
          </a:r>
          <a:br>
            <a:rPr lang="fr-FR" sz="1100" b="1"/>
          </a:br>
          <a:r>
            <a:rPr lang="fr-FR" sz="1100" b="1"/>
            <a:t>Créer une copie du</a:t>
          </a:r>
          <a:r>
            <a:rPr lang="fr-FR" sz="1100" b="1" baseline="0"/>
            <a:t> masque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19</xdr:row>
      <xdr:rowOff>57150</xdr:rowOff>
    </xdr:from>
    <xdr:to>
      <xdr:col>1</xdr:col>
      <xdr:colOff>2085975</xdr:colOff>
      <xdr:row>22</xdr:row>
      <xdr:rowOff>57150</xdr:rowOff>
    </xdr:to>
    <xdr:sp macro="[0]!CreationCopieMasqu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3B1AC069-6562-4211-AF96-1D9E1F8EC1BB}"/>
            </a:ext>
          </a:extLst>
        </xdr:cNvPr>
        <xdr:cNvSpPr/>
      </xdr:nvSpPr>
      <xdr:spPr>
        <a:xfrm>
          <a:off x="704850" y="4133850"/>
          <a:ext cx="21431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CLIQUER ICI</a:t>
          </a:r>
          <a:br>
            <a:rPr lang="fr-FR" sz="1100" b="1"/>
          </a:br>
          <a:r>
            <a:rPr lang="fr-FR" sz="1100" b="1"/>
            <a:t>Créer une copie du</a:t>
          </a:r>
          <a:r>
            <a:rPr lang="fr-FR" sz="1100" b="1" baseline="0"/>
            <a:t> masque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13</xdr:row>
      <xdr:rowOff>66675</xdr:rowOff>
    </xdr:from>
    <xdr:to>
      <xdr:col>1</xdr:col>
      <xdr:colOff>2085975</xdr:colOff>
      <xdr:row>16</xdr:row>
      <xdr:rowOff>66675</xdr:rowOff>
    </xdr:to>
    <xdr:sp macro="[0]!CreationCopieMasqu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CFF8B7B-FB4F-4D63-B9E0-4F013B332A66}"/>
            </a:ext>
          </a:extLst>
        </xdr:cNvPr>
        <xdr:cNvSpPr/>
      </xdr:nvSpPr>
      <xdr:spPr>
        <a:xfrm>
          <a:off x="704850" y="4143375"/>
          <a:ext cx="21431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CLIQUER ICI</a:t>
          </a:r>
          <a:br>
            <a:rPr lang="fr-FR" sz="1100" b="1"/>
          </a:br>
          <a:r>
            <a:rPr lang="fr-FR" sz="1100" b="1"/>
            <a:t>Créer une copie du</a:t>
          </a:r>
          <a:r>
            <a:rPr lang="fr-FR" sz="1100" b="1" baseline="0"/>
            <a:t> masque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13</xdr:row>
      <xdr:rowOff>66675</xdr:rowOff>
    </xdr:from>
    <xdr:to>
      <xdr:col>1</xdr:col>
      <xdr:colOff>2085975</xdr:colOff>
      <xdr:row>16</xdr:row>
      <xdr:rowOff>66675</xdr:rowOff>
    </xdr:to>
    <xdr:sp macro="[0]!CreationCopieMasqu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E73216D-FF5F-415F-855A-E7DAB608D103}"/>
            </a:ext>
          </a:extLst>
        </xdr:cNvPr>
        <xdr:cNvSpPr/>
      </xdr:nvSpPr>
      <xdr:spPr>
        <a:xfrm>
          <a:off x="704850" y="3000375"/>
          <a:ext cx="21431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CLIQUER ICI</a:t>
          </a:r>
          <a:br>
            <a:rPr lang="fr-FR" sz="1100" b="1"/>
          </a:br>
          <a:r>
            <a:rPr lang="fr-FR" sz="1100" b="1"/>
            <a:t>Créer une copie du</a:t>
          </a:r>
          <a:r>
            <a:rPr lang="fr-FR" sz="1100" b="1" baseline="0"/>
            <a:t> masque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704850</xdr:colOff>
      <xdr:row>19</xdr:row>
      <xdr:rowOff>57150</xdr:rowOff>
    </xdr:from>
    <xdr:to>
      <xdr:col>1</xdr:col>
      <xdr:colOff>2085975</xdr:colOff>
      <xdr:row>22</xdr:row>
      <xdr:rowOff>57150</xdr:rowOff>
    </xdr:to>
    <xdr:sp macro="[0]!CreationCopieMasqu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05976D-F14A-4430-9205-7BD9FFDDDE3D}"/>
            </a:ext>
          </a:extLst>
        </xdr:cNvPr>
        <xdr:cNvSpPr/>
      </xdr:nvSpPr>
      <xdr:spPr>
        <a:xfrm>
          <a:off x="704850" y="4133850"/>
          <a:ext cx="2143125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CLIQUER ICI</a:t>
          </a:r>
          <a:br>
            <a:rPr lang="fr-FR" sz="1100" b="1"/>
          </a:br>
          <a:r>
            <a:rPr lang="fr-FR" sz="1100" b="1"/>
            <a:t>Créer une copie du</a:t>
          </a:r>
          <a:r>
            <a:rPr lang="fr-FR" sz="1100" b="1" baseline="0"/>
            <a:t> masque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B2:H19"/>
  <sheetViews>
    <sheetView showGridLines="0" tabSelected="1" workbookViewId="0">
      <selection activeCell="B25" sqref="B25"/>
    </sheetView>
  </sheetViews>
  <sheetFormatPr baseColWidth="10" defaultRowHeight="15" x14ac:dyDescent="0.25"/>
  <cols>
    <col min="1" max="1" width="11.42578125" style="22"/>
    <col min="2" max="2" width="39.85546875" style="22" customWidth="1"/>
    <col min="3" max="3" width="21.7109375" style="22" customWidth="1"/>
    <col min="4" max="4" width="20.7109375" style="22" customWidth="1"/>
    <col min="5" max="5" width="15.85546875" style="22" customWidth="1"/>
    <col min="6" max="6" width="18" style="22" customWidth="1"/>
    <col min="7" max="16384" width="11.42578125" style="22"/>
  </cols>
  <sheetData>
    <row r="2" spans="2:8" ht="51" customHeight="1" x14ac:dyDescent="0.25">
      <c r="B2" s="34" t="s">
        <v>16</v>
      </c>
      <c r="C2" s="35" t="s">
        <v>13</v>
      </c>
      <c r="D2" s="36" t="s">
        <v>12</v>
      </c>
      <c r="E2" s="35" t="s">
        <v>14</v>
      </c>
      <c r="F2" s="37" t="s">
        <v>15</v>
      </c>
    </row>
    <row r="3" spans="2:8" x14ac:dyDescent="0.25">
      <c r="B3" s="29"/>
      <c r="C3" s="25"/>
      <c r="D3" s="38">
        <v>65</v>
      </c>
      <c r="E3" s="31"/>
      <c r="F3" s="25"/>
    </row>
    <row r="4" spans="2:8" x14ac:dyDescent="0.25">
      <c r="B4" s="40"/>
      <c r="C4" s="49"/>
      <c r="D4" s="25" t="str">
        <f>IF(C4*$D$3=0,"",C4*$D$3)</f>
        <v/>
      </c>
      <c r="E4" s="32"/>
      <c r="F4" s="47" t="str">
        <f>IF(E4=0,"",D4*E4)</f>
        <v/>
      </c>
      <c r="H4" s="24"/>
    </row>
    <row r="5" spans="2:8" x14ac:dyDescent="0.25">
      <c r="B5" s="40"/>
      <c r="C5" s="49"/>
      <c r="D5" s="25" t="str">
        <f t="shared" ref="D5:D15" si="0">IF(C5*$D$3=0,"",C5*$D$3)</f>
        <v/>
      </c>
      <c r="E5" s="32"/>
      <c r="F5" s="47" t="str">
        <f t="shared" ref="F5:F15" si="1">IF(E5=0,"",D5*E5)</f>
        <v/>
      </c>
    </row>
    <row r="6" spans="2:8" x14ac:dyDescent="0.25">
      <c r="B6" s="40"/>
      <c r="C6" s="49"/>
      <c r="D6" s="25" t="str">
        <f t="shared" si="0"/>
        <v/>
      </c>
      <c r="E6" s="32"/>
      <c r="F6" s="47" t="str">
        <f t="shared" si="1"/>
        <v/>
      </c>
    </row>
    <row r="7" spans="2:8" x14ac:dyDescent="0.25">
      <c r="B7" s="40"/>
      <c r="C7" s="49"/>
      <c r="D7" s="25" t="str">
        <f>IF(C7*$D$3=0,"",C7*$D$3)</f>
        <v/>
      </c>
      <c r="E7" s="32"/>
      <c r="F7" s="47" t="str">
        <f t="shared" si="1"/>
        <v/>
      </c>
    </row>
    <row r="8" spans="2:8" x14ac:dyDescent="0.25">
      <c r="B8" s="40"/>
      <c r="C8" s="49"/>
      <c r="D8" s="25" t="str">
        <f t="shared" si="0"/>
        <v/>
      </c>
      <c r="E8" s="32"/>
      <c r="F8" s="47" t="str">
        <f t="shared" si="1"/>
        <v/>
      </c>
    </row>
    <row r="9" spans="2:8" x14ac:dyDescent="0.25">
      <c r="B9" s="40"/>
      <c r="C9" s="49"/>
      <c r="D9" s="25" t="str">
        <f t="shared" si="0"/>
        <v/>
      </c>
      <c r="E9" s="32"/>
      <c r="F9" s="47" t="str">
        <f t="shared" si="1"/>
        <v/>
      </c>
    </row>
    <row r="10" spans="2:8" x14ac:dyDescent="0.25">
      <c r="B10" s="40"/>
      <c r="C10" s="49"/>
      <c r="D10" s="25" t="str">
        <f t="shared" si="0"/>
        <v/>
      </c>
      <c r="E10" s="32"/>
      <c r="F10" s="47" t="str">
        <f t="shared" si="1"/>
        <v/>
      </c>
    </row>
    <row r="11" spans="2:8" x14ac:dyDescent="0.25">
      <c r="B11" s="40"/>
      <c r="C11" s="49"/>
      <c r="D11" s="25" t="str">
        <f t="shared" si="0"/>
        <v/>
      </c>
      <c r="E11" s="32"/>
      <c r="F11" s="47" t="str">
        <f t="shared" si="1"/>
        <v/>
      </c>
    </row>
    <row r="12" spans="2:8" x14ac:dyDescent="0.25">
      <c r="B12" s="40"/>
      <c r="C12" s="49"/>
      <c r="D12" s="25" t="str">
        <f t="shared" si="0"/>
        <v/>
      </c>
      <c r="E12" s="32"/>
      <c r="F12" s="47" t="str">
        <f t="shared" si="1"/>
        <v/>
      </c>
    </row>
    <row r="13" spans="2:8" x14ac:dyDescent="0.25">
      <c r="B13" s="40"/>
      <c r="C13" s="49"/>
      <c r="D13" s="25" t="str">
        <f t="shared" si="0"/>
        <v/>
      </c>
      <c r="E13" s="32"/>
      <c r="F13" s="47" t="str">
        <f t="shared" si="1"/>
        <v/>
      </c>
    </row>
    <row r="14" spans="2:8" x14ac:dyDescent="0.25">
      <c r="B14" s="40"/>
      <c r="C14" s="49"/>
      <c r="D14" s="25" t="str">
        <f t="shared" si="0"/>
        <v/>
      </c>
      <c r="E14" s="32"/>
      <c r="F14" s="47" t="str">
        <f t="shared" si="1"/>
        <v/>
      </c>
    </row>
    <row r="15" spans="2:8" x14ac:dyDescent="0.25">
      <c r="B15" s="41"/>
      <c r="C15" s="50"/>
      <c r="D15" s="39" t="str">
        <f t="shared" si="0"/>
        <v/>
      </c>
      <c r="E15" s="33"/>
      <c r="F15" s="48" t="str">
        <f t="shared" si="1"/>
        <v/>
      </c>
    </row>
    <row r="16" spans="2:8" x14ac:dyDescent="0.25">
      <c r="C16" s="23"/>
    </row>
    <row r="18" spans="3:5" x14ac:dyDescent="0.25">
      <c r="C18" s="45" t="s">
        <v>18</v>
      </c>
      <c r="E18" s="43" t="s">
        <v>17</v>
      </c>
    </row>
    <row r="19" spans="3:5" x14ac:dyDescent="0.25">
      <c r="C19" s="44">
        <v>0.65</v>
      </c>
      <c r="E19" s="42">
        <f>SUM(F4:F15)/D3</f>
        <v>0</v>
      </c>
    </row>
  </sheetData>
  <conditionalFormatting sqref="E18:E19">
    <cfRule type="expression" dxfId="4" priority="1">
      <formula>$E$19&lt;$C$19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2:H19"/>
  <sheetViews>
    <sheetView showGridLines="0" workbookViewId="0">
      <selection activeCell="B31" sqref="B31"/>
    </sheetView>
  </sheetViews>
  <sheetFormatPr baseColWidth="10" defaultRowHeight="15" x14ac:dyDescent="0.25"/>
  <cols>
    <col min="2" max="2" width="39.85546875" customWidth="1"/>
    <col min="3" max="3" width="21.7109375" customWidth="1"/>
    <col min="4" max="4" width="20.7109375" customWidth="1"/>
    <col min="5" max="5" width="15.85546875" customWidth="1"/>
    <col min="6" max="6" width="18" customWidth="1"/>
  </cols>
  <sheetData>
    <row r="2" spans="2:8" ht="51" customHeight="1" x14ac:dyDescent="0.25">
      <c r="B2" s="12" t="s">
        <v>16</v>
      </c>
      <c r="C2" s="13" t="s">
        <v>13</v>
      </c>
      <c r="D2" s="14" t="s">
        <v>12</v>
      </c>
      <c r="E2" s="13" t="s">
        <v>14</v>
      </c>
      <c r="F2" s="15" t="s">
        <v>15</v>
      </c>
    </row>
    <row r="3" spans="2:8" x14ac:dyDescent="0.25">
      <c r="B3" s="7"/>
      <c r="C3" s="3"/>
      <c r="D3" s="16">
        <v>65</v>
      </c>
      <c r="E3" s="9"/>
      <c r="F3" s="3"/>
    </row>
    <row r="4" spans="2:8" x14ac:dyDescent="0.25">
      <c r="B4" s="7" t="s">
        <v>3</v>
      </c>
      <c r="C4" s="5">
        <v>0.15</v>
      </c>
      <c r="D4" s="3">
        <f t="shared" ref="D4:D15" si="0">IF(C4*$D$3=0,"",C4*$D$3)</f>
        <v>9.75</v>
      </c>
      <c r="E4" s="10"/>
      <c r="F4" s="3" t="str">
        <f t="array" ref="F4:F15">IF(E4:E15=0,"",D4:D15*E4:E15)</f>
        <v/>
      </c>
      <c r="H4" s="2"/>
    </row>
    <row r="5" spans="2:8" x14ac:dyDescent="0.25">
      <c r="B5" s="7" t="s">
        <v>4</v>
      </c>
      <c r="C5" s="5">
        <v>0.15</v>
      </c>
      <c r="D5" s="3">
        <f t="shared" si="0"/>
        <v>9.75</v>
      </c>
      <c r="E5" s="10"/>
      <c r="F5" s="3" t="str">
        <v/>
      </c>
    </row>
    <row r="6" spans="2:8" x14ac:dyDescent="0.25">
      <c r="B6" s="7" t="s">
        <v>2</v>
      </c>
      <c r="C6" s="5">
        <v>0.14000000000000001</v>
      </c>
      <c r="D6" s="3">
        <f t="shared" si="0"/>
        <v>9.1000000000000014</v>
      </c>
      <c r="E6" s="10"/>
      <c r="F6" s="3" t="str">
        <v/>
      </c>
    </row>
    <row r="7" spans="2:8" x14ac:dyDescent="0.25">
      <c r="B7" s="7" t="s">
        <v>5</v>
      </c>
      <c r="C7" s="5">
        <v>0.12</v>
      </c>
      <c r="D7" s="3">
        <f>IF(C7*$D$3=0,"",C7*$D$3)</f>
        <v>7.8</v>
      </c>
      <c r="E7" s="10"/>
      <c r="F7" s="3" t="str">
        <v/>
      </c>
    </row>
    <row r="8" spans="2:8" x14ac:dyDescent="0.25">
      <c r="B8" s="7" t="s">
        <v>9</v>
      </c>
      <c r="C8" s="5">
        <v>0.12</v>
      </c>
      <c r="D8" s="3">
        <f t="shared" si="0"/>
        <v>7.8</v>
      </c>
      <c r="E8" s="10"/>
      <c r="F8" s="3" t="str">
        <v/>
      </c>
    </row>
    <row r="9" spans="2:8" x14ac:dyDescent="0.25">
      <c r="B9" s="7" t="s">
        <v>8</v>
      </c>
      <c r="C9" s="5">
        <v>0.1</v>
      </c>
      <c r="D9" s="3">
        <f t="shared" si="0"/>
        <v>6.5</v>
      </c>
      <c r="E9" s="10"/>
      <c r="F9" s="3" t="str">
        <v/>
      </c>
    </row>
    <row r="10" spans="2:8" x14ac:dyDescent="0.25">
      <c r="B10" s="7" t="s">
        <v>7</v>
      </c>
      <c r="C10" s="5">
        <v>0.08</v>
      </c>
      <c r="D10" s="3">
        <f t="shared" si="0"/>
        <v>5.2</v>
      </c>
      <c r="E10" s="10"/>
      <c r="F10" s="3" t="str">
        <v/>
      </c>
    </row>
    <row r="11" spans="2:8" x14ac:dyDescent="0.25">
      <c r="B11" s="7" t="s">
        <v>1</v>
      </c>
      <c r="C11" s="5">
        <v>7.0000000000000007E-2</v>
      </c>
      <c r="D11" s="3">
        <f t="shared" si="0"/>
        <v>4.5500000000000007</v>
      </c>
      <c r="E11" s="10"/>
      <c r="F11" s="3" t="str">
        <v/>
      </c>
    </row>
    <row r="12" spans="2:8" x14ac:dyDescent="0.25">
      <c r="B12" s="7" t="s">
        <v>6</v>
      </c>
      <c r="C12" s="5">
        <v>0.03</v>
      </c>
      <c r="D12" s="3">
        <f t="shared" si="0"/>
        <v>1.95</v>
      </c>
      <c r="E12" s="10"/>
      <c r="F12" s="3" t="str">
        <v/>
      </c>
    </row>
    <row r="13" spans="2:8" x14ac:dyDescent="0.25">
      <c r="B13" s="7" t="s">
        <v>0</v>
      </c>
      <c r="C13" s="5">
        <v>0.02</v>
      </c>
      <c r="D13" s="3">
        <f t="shared" si="0"/>
        <v>1.3</v>
      </c>
      <c r="E13" s="10"/>
      <c r="F13" s="3" t="str">
        <v/>
      </c>
    </row>
    <row r="14" spans="2:8" x14ac:dyDescent="0.25">
      <c r="B14" s="7" t="s">
        <v>10</v>
      </c>
      <c r="C14" s="5">
        <v>0.01</v>
      </c>
      <c r="D14" s="3">
        <f t="shared" si="0"/>
        <v>0.65</v>
      </c>
      <c r="E14" s="10"/>
      <c r="F14" s="3" t="str">
        <v/>
      </c>
    </row>
    <row r="15" spans="2:8" x14ac:dyDescent="0.25">
      <c r="B15" s="8" t="s">
        <v>11</v>
      </c>
      <c r="C15" s="6">
        <v>0.01</v>
      </c>
      <c r="D15" s="17">
        <f t="shared" si="0"/>
        <v>0.65</v>
      </c>
      <c r="E15" s="11"/>
      <c r="F15" s="4" t="str">
        <v/>
      </c>
    </row>
    <row r="16" spans="2:8" x14ac:dyDescent="0.25">
      <c r="C16" s="1"/>
    </row>
    <row r="18" spans="3:5" x14ac:dyDescent="0.25">
      <c r="C18" s="21" t="s">
        <v>18</v>
      </c>
      <c r="E18" s="19" t="s">
        <v>17</v>
      </c>
    </row>
    <row r="19" spans="3:5" x14ac:dyDescent="0.25">
      <c r="C19" s="20">
        <v>0.65</v>
      </c>
      <c r="E19" s="18">
        <f>SUM(F4:F15)/D3</f>
        <v>0</v>
      </c>
    </row>
  </sheetData>
  <conditionalFormatting sqref="E18:E19">
    <cfRule type="expression" dxfId="3" priority="1">
      <formula>$E$19&lt;$C$19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1"/>
  <sheetViews>
    <sheetView showGridLines="0" workbookViewId="0">
      <selection activeCell="D27" sqref="D27"/>
    </sheetView>
  </sheetViews>
  <sheetFormatPr baseColWidth="10" defaultRowHeight="15" x14ac:dyDescent="0.25"/>
  <cols>
    <col min="1" max="1" width="11.42578125" style="22"/>
    <col min="2" max="2" width="39.85546875" style="22" customWidth="1"/>
    <col min="3" max="3" width="21.7109375" style="22" customWidth="1"/>
    <col min="4" max="4" width="20.7109375" style="22" customWidth="1"/>
    <col min="5" max="5" width="15.85546875" style="22" customWidth="1"/>
    <col min="6" max="6" width="18" style="22" customWidth="1"/>
    <col min="7" max="16384" width="11.42578125" style="22"/>
  </cols>
  <sheetData>
    <row r="2" spans="2:8" ht="51" customHeight="1" x14ac:dyDescent="0.25">
      <c r="B2" s="34" t="s">
        <v>16</v>
      </c>
      <c r="C2" s="35" t="s">
        <v>13</v>
      </c>
      <c r="D2" s="36" t="s">
        <v>12</v>
      </c>
      <c r="E2" s="35" t="s">
        <v>14</v>
      </c>
      <c r="F2" s="37" t="s">
        <v>15</v>
      </c>
    </row>
    <row r="3" spans="2:8" x14ac:dyDescent="0.25">
      <c r="B3" s="29"/>
      <c r="C3" s="25"/>
      <c r="D3" s="38">
        <v>65</v>
      </c>
      <c r="E3" s="31"/>
      <c r="F3" s="25"/>
    </row>
    <row r="4" spans="2:8" x14ac:dyDescent="0.25">
      <c r="B4" s="29" t="s">
        <v>21</v>
      </c>
      <c r="C4" s="27">
        <v>0.46</v>
      </c>
      <c r="D4" s="25">
        <f t="shared" ref="D4:D9" si="0">IF(C4*$D$3=0,"",C4*$D$3)</f>
        <v>29.900000000000002</v>
      </c>
      <c r="E4" s="32"/>
      <c r="F4" s="47" t="str">
        <f>IF(E4=0,"",D4*E4)</f>
        <v/>
      </c>
      <c r="H4" s="24"/>
    </row>
    <row r="5" spans="2:8" x14ac:dyDescent="0.25">
      <c r="B5" s="29" t="s">
        <v>20</v>
      </c>
      <c r="C5" s="27">
        <v>0.12</v>
      </c>
      <c r="D5" s="25">
        <f t="shared" si="0"/>
        <v>7.8</v>
      </c>
      <c r="E5" s="32"/>
      <c r="F5" s="47" t="str">
        <f t="shared" ref="F5:F9" si="1">IF(E5=0,"",D5*E5)</f>
        <v/>
      </c>
    </row>
    <row r="6" spans="2:8" x14ac:dyDescent="0.25">
      <c r="B6" s="29" t="s">
        <v>23</v>
      </c>
      <c r="C6" s="27">
        <v>0.12</v>
      </c>
      <c r="D6" s="25">
        <f t="shared" si="0"/>
        <v>7.8</v>
      </c>
      <c r="E6" s="32"/>
      <c r="F6" s="47" t="str">
        <f t="shared" si="1"/>
        <v/>
      </c>
    </row>
    <row r="7" spans="2:8" x14ac:dyDescent="0.25">
      <c r="B7" s="29" t="s">
        <v>19</v>
      </c>
      <c r="C7" s="27">
        <v>0.1</v>
      </c>
      <c r="D7" s="25">
        <f t="shared" si="0"/>
        <v>6.5</v>
      </c>
      <c r="E7" s="32"/>
      <c r="F7" s="47" t="str">
        <f t="shared" si="1"/>
        <v/>
      </c>
    </row>
    <row r="8" spans="2:8" x14ac:dyDescent="0.25">
      <c r="B8" s="29" t="s">
        <v>22</v>
      </c>
      <c r="C8" s="27">
        <v>0.1</v>
      </c>
      <c r="D8" s="25">
        <f t="shared" si="0"/>
        <v>6.5</v>
      </c>
      <c r="E8" s="32"/>
      <c r="F8" s="47" t="str">
        <f t="shared" si="1"/>
        <v/>
      </c>
    </row>
    <row r="9" spans="2:8" x14ac:dyDescent="0.25">
      <c r="B9" s="30" t="s">
        <v>24</v>
      </c>
      <c r="C9" s="28">
        <v>0.1</v>
      </c>
      <c r="D9" s="26">
        <f t="shared" si="0"/>
        <v>6.5</v>
      </c>
      <c r="E9" s="33"/>
      <c r="F9" s="48" t="str">
        <f t="shared" si="1"/>
        <v/>
      </c>
    </row>
    <row r="10" spans="2:8" x14ac:dyDescent="0.25">
      <c r="C10" s="23"/>
    </row>
    <row r="12" spans="2:8" x14ac:dyDescent="0.25">
      <c r="C12" s="45" t="s">
        <v>18</v>
      </c>
      <c r="E12" s="43" t="s">
        <v>17</v>
      </c>
    </row>
    <row r="13" spans="2:8" x14ac:dyDescent="0.25">
      <c r="C13" s="44">
        <v>0.65</v>
      </c>
      <c r="E13" s="42">
        <f>SUM(F4:F9)/D3</f>
        <v>0</v>
      </c>
    </row>
    <row r="19" spans="2:3" x14ac:dyDescent="0.25">
      <c r="C19" s="1"/>
    </row>
    <row r="25" spans="2:3" x14ac:dyDescent="0.25">
      <c r="B25" s="46"/>
    </row>
    <row r="26" spans="2:3" x14ac:dyDescent="0.25">
      <c r="B26" s="46"/>
    </row>
    <row r="27" spans="2:3" x14ac:dyDescent="0.25">
      <c r="B27" s="46"/>
    </row>
    <row r="28" spans="2:3" x14ac:dyDescent="0.25">
      <c r="B28" s="46"/>
    </row>
    <row r="29" spans="2:3" x14ac:dyDescent="0.25">
      <c r="B29" s="46"/>
    </row>
    <row r="30" spans="2:3" x14ac:dyDescent="0.25">
      <c r="B30" s="46"/>
    </row>
    <row r="31" spans="2:3" x14ac:dyDescent="0.25">
      <c r="B31" s="46"/>
    </row>
  </sheetData>
  <sortState ref="B4:F9">
    <sortCondition descending="1" ref="C4:C9"/>
  </sortState>
  <conditionalFormatting sqref="E12:E13">
    <cfRule type="expression" dxfId="2" priority="1">
      <formula>$E$13&lt;$C$13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31"/>
  <sheetViews>
    <sheetView showGridLines="0" workbookViewId="0">
      <selection activeCell="D22" sqref="D22"/>
    </sheetView>
  </sheetViews>
  <sheetFormatPr baseColWidth="10" defaultRowHeight="15" x14ac:dyDescent="0.25"/>
  <cols>
    <col min="1" max="1" width="11.42578125" style="22"/>
    <col min="2" max="2" width="39.85546875" style="22" customWidth="1"/>
    <col min="3" max="3" width="21.7109375" style="22" customWidth="1"/>
    <col min="4" max="4" width="20.7109375" style="22" customWidth="1"/>
    <col min="5" max="5" width="15.85546875" style="22" customWidth="1"/>
    <col min="6" max="6" width="18" style="22" customWidth="1"/>
    <col min="7" max="16384" width="11.42578125" style="22"/>
  </cols>
  <sheetData>
    <row r="2" spans="2:8" ht="51" customHeight="1" x14ac:dyDescent="0.25">
      <c r="B2" s="34" t="s">
        <v>16</v>
      </c>
      <c r="C2" s="35" t="s">
        <v>13</v>
      </c>
      <c r="D2" s="36" t="s">
        <v>12</v>
      </c>
      <c r="E2" s="35" t="s">
        <v>14</v>
      </c>
      <c r="F2" s="37" t="s">
        <v>15</v>
      </c>
    </row>
    <row r="3" spans="2:8" x14ac:dyDescent="0.25">
      <c r="B3" s="29"/>
      <c r="C3" s="25"/>
      <c r="D3" s="38">
        <v>65</v>
      </c>
      <c r="E3" s="31"/>
      <c r="F3" s="25"/>
    </row>
    <row r="4" spans="2:8" x14ac:dyDescent="0.25">
      <c r="B4" s="29" t="s">
        <v>21</v>
      </c>
      <c r="C4" s="27">
        <v>0.46</v>
      </c>
      <c r="D4" s="25">
        <f t="shared" ref="D4:D9" si="0">IF(C4*$D$3=0,"",C4*$D$3)</f>
        <v>29.900000000000002</v>
      </c>
      <c r="E4" s="32">
        <v>0.68959999999999999</v>
      </c>
      <c r="F4" s="25">
        <f>IF(E4=0,"",D4*E4)</f>
        <v>20.619040000000002</v>
      </c>
      <c r="H4" s="24"/>
    </row>
    <row r="5" spans="2:8" x14ac:dyDescent="0.25">
      <c r="B5" s="29" t="s">
        <v>20</v>
      </c>
      <c r="C5" s="27">
        <v>0.12</v>
      </c>
      <c r="D5" s="25">
        <f t="shared" si="0"/>
        <v>7.8</v>
      </c>
      <c r="E5" s="32">
        <v>0.42849999999999999</v>
      </c>
      <c r="F5" s="25">
        <f t="shared" ref="F5:F9" si="1">IF(E5=0,"",D5*E5)</f>
        <v>3.3422999999999998</v>
      </c>
    </row>
    <row r="6" spans="2:8" x14ac:dyDescent="0.25">
      <c r="B6" s="29" t="s">
        <v>23</v>
      </c>
      <c r="C6" s="27">
        <v>0.12</v>
      </c>
      <c r="D6" s="25">
        <f t="shared" si="0"/>
        <v>7.8</v>
      </c>
      <c r="E6" s="32">
        <v>0.71419999999999995</v>
      </c>
      <c r="F6" s="25">
        <f t="shared" si="1"/>
        <v>5.570759999999999</v>
      </c>
    </row>
    <row r="7" spans="2:8" x14ac:dyDescent="0.25">
      <c r="B7" s="29" t="s">
        <v>19</v>
      </c>
      <c r="C7" s="27">
        <v>0.1</v>
      </c>
      <c r="D7" s="25">
        <f t="shared" si="0"/>
        <v>6.5</v>
      </c>
      <c r="E7" s="32">
        <v>0.83330000000000004</v>
      </c>
      <c r="F7" s="25">
        <f t="shared" si="1"/>
        <v>5.4164500000000002</v>
      </c>
    </row>
    <row r="8" spans="2:8" x14ac:dyDescent="0.25">
      <c r="B8" s="29" t="s">
        <v>22</v>
      </c>
      <c r="C8" s="27">
        <v>0.1</v>
      </c>
      <c r="D8" s="25">
        <f t="shared" si="0"/>
        <v>6.5</v>
      </c>
      <c r="E8" s="32">
        <v>0.5</v>
      </c>
      <c r="F8" s="25">
        <f t="shared" si="1"/>
        <v>3.25</v>
      </c>
    </row>
    <row r="9" spans="2:8" x14ac:dyDescent="0.25">
      <c r="B9" s="30" t="s">
        <v>24</v>
      </c>
      <c r="C9" s="28">
        <v>0.1</v>
      </c>
      <c r="D9" s="26">
        <f t="shared" si="0"/>
        <v>6.5</v>
      </c>
      <c r="E9" s="33">
        <v>1</v>
      </c>
      <c r="F9" s="39">
        <f t="shared" si="1"/>
        <v>6.5</v>
      </c>
    </row>
    <row r="10" spans="2:8" x14ac:dyDescent="0.25">
      <c r="C10" s="23"/>
    </row>
    <row r="12" spans="2:8" x14ac:dyDescent="0.25">
      <c r="C12" s="45" t="s">
        <v>18</v>
      </c>
      <c r="E12" s="43" t="s">
        <v>17</v>
      </c>
    </row>
    <row r="13" spans="2:8" x14ac:dyDescent="0.25">
      <c r="C13" s="44">
        <v>0.65</v>
      </c>
      <c r="E13" s="42">
        <f>SUM(F4:F9)/D3</f>
        <v>0.68767</v>
      </c>
    </row>
    <row r="19" spans="2:3" x14ac:dyDescent="0.25">
      <c r="C19" s="23"/>
    </row>
    <row r="25" spans="2:3" x14ac:dyDescent="0.25">
      <c r="B25" s="46"/>
    </row>
    <row r="26" spans="2:3" x14ac:dyDescent="0.25">
      <c r="B26" s="46"/>
    </row>
    <row r="27" spans="2:3" x14ac:dyDescent="0.25">
      <c r="B27" s="46"/>
    </row>
    <row r="28" spans="2:3" x14ac:dyDescent="0.25">
      <c r="B28" s="46"/>
    </row>
    <row r="29" spans="2:3" x14ac:dyDescent="0.25">
      <c r="B29" s="46"/>
    </row>
    <row r="30" spans="2:3" x14ac:dyDescent="0.25">
      <c r="B30" s="46"/>
    </row>
    <row r="31" spans="2:3" x14ac:dyDescent="0.25">
      <c r="B31" s="46"/>
    </row>
  </sheetData>
  <conditionalFormatting sqref="E12:E13">
    <cfRule type="expression" dxfId="1" priority="1">
      <formula>$E$13&lt;$C$13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9"/>
  <sheetViews>
    <sheetView showGridLines="0" workbookViewId="0">
      <selection activeCell="D22" sqref="D22"/>
    </sheetView>
  </sheetViews>
  <sheetFormatPr baseColWidth="10" defaultRowHeight="15" x14ac:dyDescent="0.25"/>
  <cols>
    <col min="1" max="1" width="11.42578125" style="22"/>
    <col min="2" max="2" width="39.85546875" style="22" customWidth="1"/>
    <col min="3" max="3" width="21.7109375" style="22" customWidth="1"/>
    <col min="4" max="4" width="20.7109375" style="22" customWidth="1"/>
    <col min="5" max="5" width="15.85546875" style="22" customWidth="1"/>
    <col min="6" max="6" width="18" style="22" customWidth="1"/>
    <col min="7" max="16384" width="11.42578125" style="22"/>
  </cols>
  <sheetData>
    <row r="2" spans="2:8" ht="51" customHeight="1" x14ac:dyDescent="0.25">
      <c r="B2" s="34" t="s">
        <v>16</v>
      </c>
      <c r="C2" s="35" t="s">
        <v>13</v>
      </c>
      <c r="D2" s="36" t="s">
        <v>12</v>
      </c>
      <c r="E2" s="35" t="s">
        <v>14</v>
      </c>
      <c r="F2" s="37" t="s">
        <v>15</v>
      </c>
    </row>
    <row r="3" spans="2:8" x14ac:dyDescent="0.25">
      <c r="B3" s="29"/>
      <c r="C3" s="25"/>
      <c r="D3" s="38">
        <v>65</v>
      </c>
      <c r="E3" s="31"/>
      <c r="F3" s="25"/>
    </row>
    <row r="4" spans="2:8" x14ac:dyDescent="0.25">
      <c r="B4" s="29" t="s">
        <v>3</v>
      </c>
      <c r="C4" s="27">
        <v>0.15</v>
      </c>
      <c r="D4" s="25">
        <f t="shared" ref="D4:D15" si="0">IF(C4*$D$3=0,"",C4*$D$3)</f>
        <v>9.75</v>
      </c>
      <c r="E4" s="32">
        <v>0.88</v>
      </c>
      <c r="F4" s="25">
        <f t="array" ref="F4:F15">IF(E4:E15=0,"",D4:D15*E4:E15)</f>
        <v>8.58</v>
      </c>
      <c r="H4" s="24"/>
    </row>
    <row r="5" spans="2:8" x14ac:dyDescent="0.25">
      <c r="B5" s="29" t="s">
        <v>4</v>
      </c>
      <c r="C5" s="27">
        <v>0.15</v>
      </c>
      <c r="D5" s="25">
        <f t="shared" si="0"/>
        <v>9.75</v>
      </c>
      <c r="E5" s="32">
        <v>0.62</v>
      </c>
      <c r="F5" s="25">
        <v>6.0449999999999999</v>
      </c>
    </row>
    <row r="6" spans="2:8" x14ac:dyDescent="0.25">
      <c r="B6" s="29" t="s">
        <v>2</v>
      </c>
      <c r="C6" s="27">
        <v>0.14000000000000001</v>
      </c>
      <c r="D6" s="25">
        <f t="shared" si="0"/>
        <v>9.1000000000000014</v>
      </c>
      <c r="E6" s="32">
        <v>0.87</v>
      </c>
      <c r="F6" s="25">
        <v>7.9170000000000016</v>
      </c>
    </row>
    <row r="7" spans="2:8" x14ac:dyDescent="0.25">
      <c r="B7" s="29" t="s">
        <v>5</v>
      </c>
      <c r="C7" s="27">
        <v>0.12</v>
      </c>
      <c r="D7" s="25">
        <f>IF(C7*$D$3=0,"",C7*$D$3)</f>
        <v>7.8</v>
      </c>
      <c r="E7" s="32">
        <v>0.62</v>
      </c>
      <c r="F7" s="25">
        <v>4.8360000000000003</v>
      </c>
    </row>
    <row r="8" spans="2:8" x14ac:dyDescent="0.25">
      <c r="B8" s="29" t="s">
        <v>9</v>
      </c>
      <c r="C8" s="27">
        <v>0.12</v>
      </c>
      <c r="D8" s="25">
        <f t="shared" si="0"/>
        <v>7.8</v>
      </c>
      <c r="E8" s="32">
        <v>0.4</v>
      </c>
      <c r="F8" s="25">
        <v>3.12</v>
      </c>
    </row>
    <row r="9" spans="2:8" x14ac:dyDescent="0.25">
      <c r="B9" s="29" t="s">
        <v>8</v>
      </c>
      <c r="C9" s="27">
        <v>0.1</v>
      </c>
      <c r="D9" s="25">
        <f t="shared" si="0"/>
        <v>6.5</v>
      </c>
      <c r="E9" s="32">
        <v>0.66</v>
      </c>
      <c r="F9" s="25">
        <v>4.29</v>
      </c>
    </row>
    <row r="10" spans="2:8" x14ac:dyDescent="0.25">
      <c r="B10" s="29" t="s">
        <v>7</v>
      </c>
      <c r="C10" s="27">
        <v>0.08</v>
      </c>
      <c r="D10" s="25">
        <f t="shared" si="0"/>
        <v>5.2</v>
      </c>
      <c r="E10" s="32">
        <v>1</v>
      </c>
      <c r="F10" s="25">
        <v>5.2</v>
      </c>
    </row>
    <row r="11" spans="2:8" x14ac:dyDescent="0.25">
      <c r="B11" s="29" t="s">
        <v>1</v>
      </c>
      <c r="C11" s="27">
        <v>7.0000000000000007E-2</v>
      </c>
      <c r="D11" s="25">
        <f t="shared" si="0"/>
        <v>4.5500000000000007</v>
      </c>
      <c r="E11" s="32">
        <v>1</v>
      </c>
      <c r="F11" s="25">
        <v>4.5500000000000007</v>
      </c>
    </row>
    <row r="12" spans="2:8" x14ac:dyDescent="0.25">
      <c r="B12" s="29" t="s">
        <v>6</v>
      </c>
      <c r="C12" s="27">
        <v>0.03</v>
      </c>
      <c r="D12" s="25">
        <f t="shared" si="0"/>
        <v>1.95</v>
      </c>
      <c r="E12" s="32">
        <v>1</v>
      </c>
      <c r="F12" s="25">
        <v>1.95</v>
      </c>
    </row>
    <row r="13" spans="2:8" x14ac:dyDescent="0.25">
      <c r="B13" s="29" t="s">
        <v>0</v>
      </c>
      <c r="C13" s="27">
        <v>0.02</v>
      </c>
      <c r="D13" s="25">
        <f t="shared" si="0"/>
        <v>1.3</v>
      </c>
      <c r="E13" s="32">
        <v>1</v>
      </c>
      <c r="F13" s="25">
        <v>1.3</v>
      </c>
    </row>
    <row r="14" spans="2:8" x14ac:dyDescent="0.25">
      <c r="B14" s="29" t="s">
        <v>10</v>
      </c>
      <c r="C14" s="27">
        <v>0.01</v>
      </c>
      <c r="D14" s="25">
        <f t="shared" si="0"/>
        <v>0.65</v>
      </c>
      <c r="E14" s="32">
        <v>1</v>
      </c>
      <c r="F14" s="25">
        <v>0.65</v>
      </c>
    </row>
    <row r="15" spans="2:8" x14ac:dyDescent="0.25">
      <c r="B15" s="30" t="s">
        <v>11</v>
      </c>
      <c r="C15" s="28">
        <v>0.01</v>
      </c>
      <c r="D15" s="39">
        <f t="shared" si="0"/>
        <v>0.65</v>
      </c>
      <c r="E15" s="33">
        <v>1</v>
      </c>
      <c r="F15" s="26">
        <v>0.65</v>
      </c>
    </row>
    <row r="16" spans="2:8" x14ac:dyDescent="0.25">
      <c r="C16" s="23"/>
    </row>
    <row r="18" spans="3:5" x14ac:dyDescent="0.25">
      <c r="C18" s="45" t="s">
        <v>18</v>
      </c>
      <c r="E18" s="43" t="s">
        <v>17</v>
      </c>
    </row>
    <row r="19" spans="3:5" x14ac:dyDescent="0.25">
      <c r="C19" s="44">
        <v>0.65</v>
      </c>
      <c r="E19" s="42">
        <f>SUM(F4:F15)/D3</f>
        <v>0.75520000000000009</v>
      </c>
    </row>
  </sheetData>
  <conditionalFormatting sqref="E18:E19">
    <cfRule type="expression" dxfId="0" priority="1">
      <formula>$E$19&lt;$C$19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Masque toute certif</vt:lpstr>
      <vt:lpstr>Masque ADM 201</vt:lpstr>
      <vt:lpstr>Masque DEV 450</vt:lpstr>
      <vt:lpstr>DEV 450 - Alexis</vt:lpstr>
      <vt:lpstr>ADM 201 - Samira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MASSON</dc:creator>
  <cp:lastModifiedBy>Alexis MASSON</cp:lastModifiedBy>
  <dcterms:created xsi:type="dcterms:W3CDTF">2018-07-19T12:00:34Z</dcterms:created>
  <dcterms:modified xsi:type="dcterms:W3CDTF">2018-07-19T13:19:39Z</dcterms:modified>
</cp:coreProperties>
</file>